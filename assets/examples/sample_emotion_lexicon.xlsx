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11bfe731b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情绪框架" sheetId="1" r:id="R819e74a4bcd54e04"/>
    <x:sheet xmlns:r="http://schemas.openxmlformats.org/officeDocument/2006/relationships" name="使用说明" sheetId="2" r:id="R55774e99e322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7A3515"/>
      <x:name val="Carlito"/>
    </x:font>
    <x:font>
      <x:b/>
      <x:sz val="11"/>
      <x:color rgb="FFFFFFFF"/>
      <x:name val="Carlito"/>
    </x:font>
    <x:font>
      <x:sz val="11"/>
      <x:color rgb="FF3F2A20"/>
      <x:name val="Carlito"/>
    </x:font>
    <x:font>
      <x:b/>
      <x:sz val="11"/>
      <x:color rgb="FF9A4D20"/>
      <x:name val="Carlito"/>
    </x:font>
    <x:font>
      <x:b/>
      <x:sz val="11"/>
      <x:color rgb="FFC25A1C"/>
      <x:name val="Carlito"/>
    </x:font>
    <x:font>
      <x:b/>
      <x:sz val="10"/>
      <x:color rgb="FF7A3515"/>
      <x:name val="PingFang SC"/>
    </x:font>
  </x:fonts>
  <x:fills count="6">
    <x:fill>
      <x:patternFill patternType="none"/>
    </x:fill>
    <x:fill>
      <x:patternFill patternType="gray125"/>
    </x:fill>
    <x:fill>
      <x:patternFill patternType="solid">
        <x:fgColor rgb="FFF3E8DA"/>
      </x:patternFill>
    </x:fill>
    <x:fill>
      <x:patternFill patternType="solid">
        <x:fgColor rgb="FFD98938"/>
      </x:patternFill>
    </x:fill>
    <x:fill>
      <x:patternFill patternType="solid">
        <x:fgColor rgb="FFFFF9F2"/>
      </x:patternFill>
    </x:fill>
    <x:fill>
      <x:patternFill patternType="solid">
        <x:fgColor rgb="FFFFFFFF"/>
      </x:patternFill>
    </x:fill>
  </x:fills>
  <x:borders count="12">
    <x:border/>
    <x:border>
      <x:right style="thin">
        <x:color rgb="FFE9D8C7"/>
      </x:right>
      <x:bottom style="thin">
        <x:color rgb="FFE9D8C7"/>
      </x:bottom>
    </x:border>
    <x:border>
      <x:left style="thin">
        <x:color rgb="FFE9D8C7"/>
      </x:left>
      <x:right style="thin">
        <x:color rgb="FFE9D8C7"/>
      </x:right>
      <x:bottom style="thin">
        <x:color rgb="FFE9D8C7"/>
      </x:bottom>
    </x:border>
    <x:border>
      <x:left style="thin">
        <x:color rgb="FFE9D8C7"/>
      </x:left>
      <x:bottom style="thin">
        <x:color rgb="FFE9D8C7"/>
      </x:bottom>
    </x:border>
    <x:border>
      <x:right style="thin">
        <x:color rgb="FFE9D8C7"/>
      </x:right>
      <x:top style="thin">
        <x:color rgb="FFE9D8C7"/>
      </x:top>
      <x:bottom style="thin">
        <x:color rgb="FFE9D8C7"/>
      </x:bottom>
    </x:border>
    <x:border>
      <x:left style="thin">
        <x:color rgb="FFE9D8C7"/>
      </x:left>
      <x:right style="thin">
        <x:color rgb="FFE9D8C7"/>
      </x:right>
      <x:top style="thin">
        <x:color rgb="FFE9D8C7"/>
      </x:top>
      <x:bottom style="thin">
        <x:color rgb="FFE9D8C7"/>
      </x:bottom>
    </x:border>
    <x:border>
      <x:left style="thin">
        <x:color rgb="FFE9D8C7"/>
      </x:left>
      <x:top style="thin">
        <x:color rgb="FFE9D8C7"/>
      </x:top>
      <x:bottom style="thin">
        <x:color rgb="FFE9D8C7"/>
      </x:bottom>
    </x:border>
    <x:border>
      <x:right style="thin">
        <x:color rgb="FFE9D8C7"/>
      </x:right>
      <x:top style="thin">
        <x:color rgb="FFE9D8C7"/>
      </x:top>
    </x:border>
    <x:border>
      <x:left style="thin">
        <x:color rgb="FFE9D8C7"/>
      </x:left>
      <x:right style="thin">
        <x:color rgb="FFE9D8C7"/>
      </x:right>
      <x:top style="thin">
        <x:color rgb="FFE9D8C7"/>
      </x:top>
    </x:border>
    <x:border>
      <x:left style="thin">
        <x:color rgb="FFE9D8C7"/>
      </x:left>
      <x:top style="thin">
        <x:color rgb="FFE9D8C7"/>
      </x:top>
    </x:border>
    <x:border>
      <x:left style="thin">
        <x:color rgb="FFE9D8C7"/>
      </x:left>
    </x:border>
    <x:border>
      <x:right style="thin">
        <x:color rgb="FFE9D8C7"/>
      </x:right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4" borderId="9" xfId="0" applyNumberFormat="1" applyFont="1" applyFill="1" applyBorder="1"/>
    <x:xf numFmtId="0" fontId="0" fillId="4" borderId="7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/>
    <x:xf numFmtId="0" fontId="0" fillId="4" borderId="9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a9e36d97b4795" /><Relationship Type="http://schemas.openxmlformats.org/officeDocument/2006/relationships/theme" Target="/xl/theme/theme1.xml" Id="Rca1b79dc0eec4dba" /><Relationship Type="http://schemas.openxmlformats.org/officeDocument/2006/relationships/sharedStrings" Target="/xl/sharedStrings.xml" Id="R0f351decbe7844bf" /><Relationship Type="http://schemas.openxmlformats.org/officeDocument/2006/relationships/worksheet" Target="/xl/worksheets/sheet1.xml" Id="R819e74a4bcd54e04" /><Relationship Type="http://schemas.openxmlformats.org/officeDocument/2006/relationships/worksheet" Target="/xl/worksheets/sheet2.xml" Id="R55774e99e3224376" /></Relationships>
</file>

<file path=xl/tables/table1.xml><?xml version="1.0" encoding="utf-8"?>
<x:table xmlns:x="http://schemas.openxmlformats.org/spreadsheetml/2006/main" id="1" name="EmotionTaxonomy" displayName="EmotionTaxonomy" ref="A2:F36" headerRowCount="1" totalsRowCount="0" totalsRowShown="0">
  <x:tableColumns count="6">
    <x:tableColumn id="1" name="一级来源"/>
    <x:tableColumn id="2" name="社会目标/张力"/>
    <x:tableColumn id="3" name="产生情境"/>
    <x:tableColumn id="4" name="情绪标签"/>
    <x:tableColumn id="5" name="基础极性"/>
    <x:tableColumn id="6" name="操作性定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7408b5a2ce45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13" hidden="0" customWidth="1"/>
    <x:col min="5" max="5" width="13" hidden="0" customWidth="1"/>
    <x:col min="6" max="6" width="42" hidden="0" customWidth="1"/>
  </x:cols>
  <x:sheetData>
    <x:row r="1" ht="34" customHeight="1">
      <x:c r="A1" s="43" t="str">
        <x:v>情绪的 3 层产生源头 · 图示标称 35 类 / 实际可读 34 标签</x:v>
      </x:c>
      <x:c r="B1" s="43" t="str">
        <x:v>情绪的 3 层产生源头 · 图示标称 35 类 / 实际可读 34 标签</x:v>
      </x:c>
      <x:c r="C1" s="43" t="str">
        <x:v>情绪的 3 层产生源头 · 图示标称 35 类 / 实际可读 34 标签</x:v>
      </x:c>
      <x:c r="D1" s="43" t="str">
        <x:v>情绪的 3 层产生源头 · 图示标称 35 类 / 实际可读 34 标签</x:v>
      </x:c>
      <x:c r="E1" s="43" t="str">
        <x:v>情绪的 3 层产生源头 · 图示标称 35 类 / 实际可读 34 标签</x:v>
      </x:c>
      <x:c r="F1" s="43" t="str">
        <x:v>情绪的 3 层产生源头 · 图示标称 35 类 / 实际可读 34 标签</x:v>
      </x:c>
    </x:row>
    <x:row r="2" ht="28" customHeight="1">
      <x:c r="A2" s="7" t="str">
        <x:v>一级来源</x:v>
      </x:c>
      <x:c r="B2" s="7" t="str">
        <x:v>社会目标/张力</x:v>
      </x:c>
      <x:c r="C2" s="7" t="str">
        <x:v>产生情境</x:v>
      </x:c>
      <x:c r="D2" s="7" t="str">
        <x:v>情绪标签</x:v>
      </x:c>
      <x:c r="E2" s="7" t="str">
        <x:v>基础极性</x:v>
      </x:c>
      <x:c r="F2" s="7" t="str">
        <x:v>操作性定义</x:v>
      </x:c>
    </x:row>
    <x:row r="3" ht="38" customHeight="1">
      <x:c r="A3" s="37" t="str">
        <x:v>生存适应性情绪</x:v>
      </x:c>
      <x:c r="B3" s="29" t="str">
        <x:v>基本生存需求</x:v>
      </x:c>
      <x:c r="C3" s="29" t="str">
        <x:v>能够或已经被满足</x:v>
      </x:c>
      <x:c r="D3" s="40" t="str">
        <x:v>快乐</x:v>
      </x:c>
      <x:c r="E3" s="29" t="str">
        <x:v>正向</x:v>
      </x:c>
      <x:c r="F3" s="30" t="str">
        <x:v>需求被满足时的愉悦与轻松</x:v>
      </x:c>
    </x:row>
    <x:row r="4" ht="38" customHeight="1">
      <x:c r="A4" s="38" t="str">
        <x:v>生存适应性情绪</x:v>
      </x:c>
      <x:c r="B4" s="32" t="str">
        <x:v>基本生存需求</x:v>
      </x:c>
      <x:c r="C4" s="32" t="str">
        <x:v>无法被满足</x:v>
      </x:c>
      <x:c r="D4" s="41" t="str">
        <x:v>愤怒</x:v>
      </x:c>
      <x:c r="E4" s="32" t="str">
        <x:v>负向</x:v>
      </x:c>
      <x:c r="F4" s="33" t="str">
        <x:v>目标受阻或边界被侵犯</x:v>
      </x:c>
    </x:row>
    <x:row r="5" ht="38" customHeight="1">
      <x:c r="A5" s="38" t="str">
        <x:v>生存适应性情绪</x:v>
      </x:c>
      <x:c r="B5" s="32" t="str">
        <x:v>基本生存需求</x:v>
      </x:c>
      <x:c r="C5" s="32" t="str">
        <x:v>无法被满足</x:v>
      </x:c>
      <x:c r="D5" s="41" t="str">
        <x:v>悲伤</x:v>
      </x:c>
      <x:c r="E5" s="32" t="str">
        <x:v>负向</x:v>
      </x:c>
      <x:c r="F5" s="33" t="str">
        <x:v>失去、受挫或期待落空</x:v>
      </x:c>
    </x:row>
    <x:row r="6" ht="38" customHeight="1">
      <x:c r="A6" s="38" t="str">
        <x:v>生存适应性情绪</x:v>
      </x:c>
      <x:c r="B6" s="32" t="str">
        <x:v>潜在威胁或挑战</x:v>
      </x:c>
      <x:c r="C6" s="32" t="str">
        <x:v>面临潜在威胁</x:v>
      </x:c>
      <x:c r="D6" s="41" t="str">
        <x:v>恐惧</x:v>
      </x:c>
      <x:c r="E6" s="32" t="str">
        <x:v>负向</x:v>
      </x:c>
      <x:c r="F6" s="33" t="str">
        <x:v>感知安全、损失或控制风险</x:v>
      </x:c>
    </x:row>
    <x:row r="7" ht="38" customHeight="1">
      <x:c r="A7" s="38" t="str">
        <x:v>生存适应性情绪</x:v>
      </x:c>
      <x:c r="B7" s="32" t="str">
        <x:v>潜在威胁或挑战</x:v>
      </x:c>
      <x:c r="C7" s="32" t="str">
        <x:v>面临潜在威胁</x:v>
      </x:c>
      <x:c r="D7" s="41" t="str">
        <x:v>惊讶</x:v>
      </x:c>
      <x:c r="E7" s="32" t="str">
        <x:v>混合</x:v>
      </x:c>
      <x:c r="F7" s="33" t="str">
        <x:v>结果超出预期，需结合上下文判定</x:v>
      </x:c>
    </x:row>
    <x:row r="8" ht="38" customHeight="1">
      <x:c r="A8" s="38" t="str">
        <x:v>生存适应性情绪</x:v>
      </x:c>
      <x:c r="B8" s="32" t="str">
        <x:v>潜在威胁或挑战</x:v>
      </x:c>
      <x:c r="C8" s="32" t="str">
        <x:v>面临潜在威胁</x:v>
      </x:c>
      <x:c r="D8" s="41" t="str">
        <x:v>厌恶</x:v>
      </x:c>
      <x:c r="E8" s="32" t="str">
        <x:v>负向</x:v>
      </x:c>
      <x:c r="F8" s="33" t="str">
        <x:v>对对象产生排斥或强烈不适</x:v>
      </x:c>
    </x:row>
    <x:row r="9" ht="38" customHeight="1">
      <x:c r="A9" s="38" t="str">
        <x:v>社会适应性情绪</x:v>
      </x:c>
      <x:c r="B9" s="32" t="str">
        <x:v>追求影响力</x:v>
      </x:c>
      <x:c r="C9" s="32" t="str">
        <x:v>认为自己拥有影响力</x:v>
      </x:c>
      <x:c r="D9" s="41" t="str">
        <x:v>优越感</x:v>
      </x:c>
      <x:c r="E9" s="32" t="str">
        <x:v>正向</x:v>
      </x:c>
      <x:c r="F9" s="33" t="str">
        <x:v>感到自身更有能力、地位或控制力</x:v>
      </x:c>
    </x:row>
    <x:row r="10" ht="38" customHeight="1">
      <x:c r="A10" s="38" t="str">
        <x:v>社会适应性情绪</x:v>
      </x:c>
      <x:c r="B10" s="32" t="str">
        <x:v>追求影响力</x:v>
      </x:c>
      <x:c r="C10" s="32" t="str">
        <x:v>认为自己不拥有影响力</x:v>
      </x:c>
      <x:c r="D10" s="41" t="str">
        <x:v>被支配感</x:v>
      </x:c>
      <x:c r="E10" s="32" t="str">
        <x:v>负向</x:v>
      </x:c>
      <x:c r="F10" s="33" t="str">
        <x:v>感到被迫、缺乏选择或控制</x:v>
      </x:c>
    </x:row>
    <x:row r="11" ht="38" customHeight="1">
      <x:c r="A11" s="38" t="str">
        <x:v>社会适应性情绪</x:v>
      </x:c>
      <x:c r="B11" s="32" t="str">
        <x:v>追求影响力</x:v>
      </x:c>
      <x:c r="C11" s="32" t="str">
        <x:v>认为自己不拥有影响力</x:v>
      </x:c>
      <x:c r="D11" s="41" t="str">
        <x:v>被剥夺感</x:v>
      </x:c>
      <x:c r="E11" s="32" t="str">
        <x:v>负向</x:v>
      </x:c>
      <x:c r="F11" s="33" t="str">
        <x:v>认为应有权益或资源被拿走</x:v>
      </x:c>
    </x:row>
    <x:row r="12" ht="38" customHeight="1">
      <x:c r="A12" s="38" t="str">
        <x:v>社会适应性情绪</x:v>
      </x:c>
      <x:c r="B12" s="32" t="str">
        <x:v>追求影响力</x:v>
      </x:c>
      <x:c r="C12" s="32" t="str">
        <x:v>认为自己不拥有影响力</x:v>
      </x:c>
      <x:c r="D12" s="41" t="str">
        <x:v>耻感</x:v>
      </x:c>
      <x:c r="E12" s="32" t="str">
        <x:v>负向</x:v>
      </x:c>
      <x:c r="F12" s="33" t="str">
        <x:v>因自我评价或他人目光产生羞耻</x:v>
      </x:c>
    </x:row>
    <x:row r="13" ht="38" customHeight="1">
      <x:c r="A13" s="38" t="str">
        <x:v>社会适应性情绪</x:v>
      </x:c>
      <x:c r="B13" s="32" t="str">
        <x:v>追求影响力</x:v>
      </x:c>
      <x:c r="C13" s="32" t="str">
        <x:v>认为自己不拥有影响力</x:v>
      </x:c>
      <x:c r="D13" s="41" t="str">
        <x:v>软慕感</x:v>
      </x:c>
      <x:c r="E13" s="32" t="str">
        <x:v>混合</x:v>
      </x:c>
      <x:c r="F13" s="33" t="str">
        <x:v>对他人拥有的体验产生柔和羡慕</x:v>
      </x:c>
    </x:row>
    <x:row r="14" ht="38" customHeight="1">
      <x:c r="A14" s="38" t="str">
        <x:v>社会适应性情绪</x:v>
      </x:c>
      <x:c r="B14" s="32" t="str">
        <x:v>追求和谐关系</x:v>
      </x:c>
      <x:c r="C14" s="32" t="str">
        <x:v>认为已经实现融洽关系</x:v>
      </x:c>
      <x:c r="D14" s="41" t="str">
        <x:v>信任感</x:v>
      </x:c>
      <x:c r="E14" s="32" t="str">
        <x:v>正向</x:v>
      </x:c>
      <x:c r="F14" s="33" t="str">
        <x:v>相信对象可靠并愿意承担不确定性</x:v>
      </x:c>
    </x:row>
    <x:row r="15" ht="38" customHeight="1">
      <x:c r="A15" s="38" t="str">
        <x:v>社会适应性情绪</x:v>
      </x:c>
      <x:c r="B15" s="32" t="str">
        <x:v>追求和谐关系</x:v>
      </x:c>
      <x:c r="C15" s="32" t="str">
        <x:v>认为已经实现融洽关系</x:v>
      </x:c>
      <x:c r="D15" s="41" t="str">
        <x:v>依赖感</x:v>
      </x:c>
      <x:c r="E15" s="32" t="str">
        <x:v>混合</x:v>
      </x:c>
      <x:c r="F15" s="33" t="str">
        <x:v>持续依靠对象满足任务或情感需求</x:v>
      </x:c>
    </x:row>
    <x:row r="16" ht="38" customHeight="1">
      <x:c r="A16" s="38" t="str">
        <x:v>社会适应性情绪</x:v>
      </x:c>
      <x:c r="B16" s="32" t="str">
        <x:v>追求和谐关系</x:v>
      </x:c>
      <x:c r="C16" s="32" t="str">
        <x:v>认为已经实现融洽关系</x:v>
      </x:c>
      <x:c r="D16" s="41" t="str">
        <x:v>爱意</x:v>
      </x:c>
      <x:c r="E16" s="32" t="str">
        <x:v>正向</x:v>
      </x:c>
      <x:c r="F16" s="33" t="str">
        <x:v>对对象产生亲近、喜爱与投入</x:v>
      </x:c>
    </x:row>
    <x:row r="17" ht="38" customHeight="1">
      <x:c r="A17" s="38" t="str">
        <x:v>社会适应性情绪</x:v>
      </x:c>
      <x:c r="B17" s="32" t="str">
        <x:v>追求和谐关系</x:v>
      </x:c>
      <x:c r="C17" s="32" t="str">
        <x:v>认为已经实现融洽关系</x:v>
      </x:c>
      <x:c r="D17" s="41" t="str">
        <x:v>谢意</x:v>
      </x:c>
      <x:c r="E17" s="32" t="str">
        <x:v>正向</x:v>
      </x:c>
      <x:c r="F17" s="33" t="str">
        <x:v>因获得帮助或价值表达感谢</x:v>
      </x:c>
    </x:row>
    <x:row r="18" ht="38" customHeight="1">
      <x:c r="A18" s="38" t="str">
        <x:v>社会适应性情绪</x:v>
      </x:c>
      <x:c r="B18" s="32" t="str">
        <x:v>追求和谐关系</x:v>
      </x:c>
      <x:c r="C18" s="32" t="str">
        <x:v>认为已经实现融洽关系</x:v>
      </x:c>
      <x:c r="D18" s="41" t="str">
        <x:v>同理心</x:v>
      </x:c>
      <x:c r="E18" s="32" t="str">
        <x:v>正向</x:v>
      </x:c>
      <x:c r="F18" s="33" t="str">
        <x:v>理解并回应他人的处境与感受</x:v>
      </x:c>
    </x:row>
    <x:row r="19" ht="38" customHeight="1">
      <x:c r="A19" s="38" t="str">
        <x:v>社会适应性情绪</x:v>
      </x:c>
      <x:c r="B19" s="32" t="str">
        <x:v>追求和谐关系</x:v>
      </x:c>
      <x:c r="C19" s="32" t="str">
        <x:v>认为难以实现融洽关系</x:v>
      </x:c>
      <x:c r="D19" s="41" t="str">
        <x:v>恨意</x:v>
      </x:c>
      <x:c r="E19" s="32" t="str">
        <x:v>负向</x:v>
      </x:c>
      <x:c r="F19" s="33" t="str">
        <x:v>强烈敌意、怨恨或报复倾向</x:v>
      </x:c>
    </x:row>
    <x:row r="20" ht="38" customHeight="1">
      <x:c r="A20" s="38" t="str">
        <x:v>社会适应性情绪</x:v>
      </x:c>
      <x:c r="B20" s="32" t="str">
        <x:v>追求和谐关系</x:v>
      </x:c>
      <x:c r="C20" s="32" t="str">
        <x:v>认为难以实现融洽关系</x:v>
      </x:c>
      <x:c r="D20" s="41" t="str">
        <x:v>边缘感</x:v>
      </x:c>
      <x:c r="E20" s="32" t="str">
        <x:v>负向</x:v>
      </x:c>
      <x:c r="F20" s="33" t="str">
        <x:v>感到被忽视、排除或不被接纳</x:v>
      </x:c>
    </x:row>
    <x:row r="21" ht="38" customHeight="1">
      <x:c r="A21" s="38" t="str">
        <x:v>社会适应性情绪</x:v>
      </x:c>
      <x:c r="B21" s="32" t="str">
        <x:v>追求成就</x:v>
      </x:c>
      <x:c r="C21" s="32" t="str">
        <x:v>面临困难</x:v>
      </x:c>
      <x:c r="D21" s="41" t="str">
        <x:v>压力感</x:v>
      </x:c>
      <x:c r="E21" s="32" t="str">
        <x:v>负向</x:v>
      </x:c>
      <x:c r="F21" s="33" t="str">
        <x:v>任务要求超过当前资源或时间</x:v>
      </x:c>
    </x:row>
    <x:row r="22" ht="38" customHeight="1">
      <x:c r="A22" s="38" t="str">
        <x:v>社会适应性情绪</x:v>
      </x:c>
      <x:c r="B22" s="32" t="str">
        <x:v>追求成就</x:v>
      </x:c>
      <x:c r="C22" s="32" t="str">
        <x:v>面临困难</x:v>
      </x:c>
      <x:c r="D22" s="41" t="str">
        <x:v>不确定感</x:v>
      </x:c>
      <x:c r="E22" s="32" t="str">
        <x:v>混合</x:v>
      </x:c>
      <x:c r="F22" s="33" t="str">
        <x:v>信息不足、结果或路径不明确</x:v>
      </x:c>
    </x:row>
    <x:row r="23" ht="38" customHeight="1">
      <x:c r="A23" s="38" t="str">
        <x:v>社会适应性情绪</x:v>
      </x:c>
      <x:c r="B23" s="32" t="str">
        <x:v>追求成就</x:v>
      </x:c>
      <x:c r="C23" s="32" t="str">
        <x:v>面临困难</x:v>
      </x:c>
      <x:c r="D23" s="41" t="str">
        <x:v>嫉妒感</x:v>
      </x:c>
      <x:c r="E23" s="32" t="str">
        <x:v>负向</x:v>
      </x:c>
      <x:c r="F23" s="33" t="str">
        <x:v>担心他人优势威胁自身关系或地位</x:v>
      </x:c>
    </x:row>
    <x:row r="24" ht="38" customHeight="1">
      <x:c r="A24" s="38" t="str">
        <x:v>社会适应性情绪</x:v>
      </x:c>
      <x:c r="B24" s="32" t="str">
        <x:v>追求成就</x:v>
      </x:c>
      <x:c r="C24" s="32" t="str">
        <x:v>已经成功</x:v>
      </x:c>
      <x:c r="D24" s="41" t="str">
        <x:v>自我实现感</x:v>
      </x:c>
      <x:c r="E24" s="32" t="str">
        <x:v>正向</x:v>
      </x:c>
      <x:c r="F24" s="33" t="str">
        <x:v>完成有意义目标并确认自身价值</x:v>
      </x:c>
    </x:row>
    <x:row r="25" ht="38" customHeight="1">
      <x:c r="A25" s="38" t="str">
        <x:v>社会适应性情绪</x:v>
      </x:c>
      <x:c r="B25" s="32" t="str">
        <x:v>追求成就</x:v>
      </x:c>
      <x:c r="C25" s="32" t="str">
        <x:v>已经成功</x:v>
      </x:c>
      <x:c r="D25" s="41" t="str">
        <x:v>释放感</x:v>
      </x:c>
      <x:c r="E25" s="32" t="str">
        <x:v>正向</x:v>
      </x:c>
      <x:c r="F25" s="33" t="str">
        <x:v>压力、限制或负担解除</x:v>
      </x:c>
    </x:row>
    <x:row r="26" ht="38" customHeight="1">
      <x:c r="A26" s="38" t="str">
        <x:v>社会适应性情绪</x:v>
      </x:c>
      <x:c r="B26" s="32" t="str">
        <x:v>追求成就</x:v>
      </x:c>
      <x:c r="C26" s="32" t="str">
        <x:v>已经成功</x:v>
      </x:c>
      <x:c r="D26" s="41" t="str">
        <x:v>自在感</x:v>
      </x:c>
      <x:c r="E26" s="32" t="str">
        <x:v>正向</x:v>
      </x:c>
      <x:c r="F26" s="33" t="str">
        <x:v>处于无明显阻碍和自我一致状态</x:v>
      </x:c>
    </x:row>
    <x:row r="27" ht="38" customHeight="1">
      <x:c r="A27" s="38" t="str">
        <x:v>社会适应性情绪</x:v>
      </x:c>
      <x:c r="B27" s="32" t="str">
        <x:v>追求成就</x:v>
      </x:c>
      <x:c r="C27" s="32" t="str">
        <x:v>可能成功</x:v>
      </x:c>
      <x:c r="D27" s="41" t="str">
        <x:v>希望感</x:v>
      </x:c>
      <x:c r="E27" s="32" t="str">
        <x:v>正向</x:v>
      </x:c>
      <x:c r="F27" s="33" t="str">
        <x:v>相信未来存在达成目标的可能</x:v>
      </x:c>
    </x:row>
    <x:row r="28" ht="38" customHeight="1">
      <x:c r="A28" s="38" t="str">
        <x:v>社会适应性情绪</x:v>
      </x:c>
      <x:c r="B28" s="32" t="str">
        <x:v>追求成就</x:v>
      </x:c>
      <x:c r="C28" s="32" t="str">
        <x:v>无法成功</x:v>
      </x:c>
      <x:c r="D28" s="41" t="str">
        <x:v>后悔感</x:v>
      </x:c>
      <x:c r="E28" s="32" t="str">
        <x:v>负向</x:v>
      </x:c>
      <x:c r="F28" s="33" t="str">
        <x:v>对过去选择或行动产生否定</x:v>
      </x:c>
    </x:row>
    <x:row r="29" ht="38" customHeight="1">
      <x:c r="A29" s="38" t="str">
        <x:v>社会适应性情绪</x:v>
      </x:c>
      <x:c r="B29" s="32" t="str">
        <x:v>追求成就</x:v>
      </x:c>
      <x:c r="C29" s="32" t="str">
        <x:v>无法成功</x:v>
      </x:c>
      <x:c r="D29" s="41" t="str">
        <x:v>失败感</x:v>
      </x:c>
      <x:c r="E29" s="32" t="str">
        <x:v>负向</x:v>
      </x:c>
      <x:c r="F29" s="33" t="str">
        <x:v>认为目标未达成并影响自我评价</x:v>
      </x:c>
    </x:row>
    <x:row r="30" ht="38" customHeight="1">
      <x:c r="A30" s="38" t="str">
        <x:v>社会适应性情绪</x:v>
      </x:c>
      <x:c r="B30" s="32" t="str">
        <x:v>追求成就</x:v>
      </x:c>
      <x:c r="C30" s="32" t="str">
        <x:v>无法成功</x:v>
      </x:c>
      <x:c r="D30" s="41" t="str">
        <x:v>空洞感</x:v>
      </x:c>
      <x:c r="E30" s="32" t="str">
        <x:v>负向</x:v>
      </x:c>
      <x:c r="F30" s="33" t="str">
        <x:v>目标或结果缺乏意义与满足</x:v>
      </x:c>
    </x:row>
    <x:row r="31" ht="38" customHeight="1">
      <x:c r="A31" s="38" t="str">
        <x:v>超越性情绪</x:v>
      </x:c>
      <x:c r="B31" s="32" t="str">
        <x:v>渺小与伟大的张力</x:v>
      </x:c>
      <x:c r="C31" s="32" t="str">
        <x:v>面对超出自身经验的宏大事物</x:v>
      </x:c>
      <x:c r="D31" s="41" t="str">
        <x:v>认同感</x:v>
      </x:c>
      <x:c r="E31" s="32" t="str">
        <x:v>正向</x:v>
      </x:c>
      <x:c r="F31" s="33" t="str">
        <x:v>将外部价值、群体或理念纳入自我</x:v>
      </x:c>
    </x:row>
    <x:row r="32" ht="38" customHeight="1">
      <x:c r="A32" s="38" t="str">
        <x:v>超越性情绪</x:v>
      </x:c>
      <x:c r="B32" s="32" t="str">
        <x:v>渺小与伟大的张力</x:v>
      </x:c>
      <x:c r="C32" s="32" t="str">
        <x:v>面对超出自身经验的宏大事物</x:v>
      </x:c>
      <x:c r="D32" s="41" t="str">
        <x:v>敬畏感</x:v>
      </x:c>
      <x:c r="E32" s="32" t="str">
        <x:v>混合</x:v>
      </x:c>
      <x:c r="F32" s="33" t="str">
        <x:v>面对宏大力量产生赞叹与自我缩小</x:v>
      </x:c>
    </x:row>
    <x:row r="33" ht="38" customHeight="1">
      <x:c r="A33" s="38" t="str">
        <x:v>超越性情绪</x:v>
      </x:c>
      <x:c r="B33" s="32" t="str">
        <x:v>已知和未知的张力</x:v>
      </x:c>
      <x:c r="C33" s="32" t="str">
        <x:v>面对未知</x:v>
      </x:c>
      <x:c r="D33" s="41" t="str">
        <x:v>探秘感</x:v>
      </x:c>
      <x:c r="E33" s="32" t="str">
        <x:v>正向</x:v>
      </x:c>
      <x:c r="F33" s="33" t="str">
        <x:v>被未知吸引并主动探索</x:v>
      </x:c>
    </x:row>
    <x:row r="34" ht="38" customHeight="1">
      <x:c r="A34" s="38" t="str">
        <x:v>超越性情绪</x:v>
      </x:c>
      <x:c r="B34" s="32" t="str">
        <x:v>已知和未知的张力</x:v>
      </x:c>
      <x:c r="C34" s="32" t="str">
        <x:v>面对未知</x:v>
      </x:c>
      <x:c r="D34" s="41" t="str">
        <x:v>启迪感</x:v>
      </x:c>
      <x:c r="E34" s="32" t="str">
        <x:v>正向</x:v>
      </x:c>
      <x:c r="F34" s="33" t="str">
        <x:v>获得新理解、视角或认知跃迁</x:v>
      </x:c>
    </x:row>
    <x:row r="35" ht="38" customHeight="1">
      <x:c r="A35" s="38" t="str">
        <x:v>超越性情绪</x:v>
      </x:c>
      <x:c r="B35" s="32" t="str">
        <x:v>有常和无常的张力</x:v>
      </x:c>
      <x:c r="C35" s="32" t="str">
        <x:v>面对变化与消逝</x:v>
      </x:c>
      <x:c r="D35" s="41" t="str">
        <x:v>伤逝感</x:v>
      </x:c>
      <x:c r="E35" s="32" t="str">
        <x:v>负向</x:v>
      </x:c>
      <x:c r="F35" s="33" t="str">
        <x:v>因时间、关系或事物消逝而感伤</x:v>
      </x:c>
    </x:row>
    <x:row r="36" ht="38" customHeight="1">
      <x:c r="A36" s="39" t="str">
        <x:v>超越性情绪</x:v>
      </x:c>
      <x:c r="B36" s="35" t="str">
        <x:v>有常和无常的张力</x:v>
      </x:c>
      <x:c r="C36" s="35" t="str">
        <x:v>面对变化与消逝</x:v>
      </x:c>
      <x:c r="D36" s="42" t="str">
        <x:v>虚无感</x:v>
      </x:c>
      <x:c r="E36" s="35" t="str">
        <x:v>负向</x:v>
      </x:c>
      <x:c r="F36" s="36" t="str">
        <x:v>感到价值、秩序或存在意义消解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b7408b5a2ce45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8" hidden="0" customWidth="1"/>
  </x:cols>
  <x:sheetData>
    <x:row r="1" ht="34" customHeight="1">
      <x:c r="A1" s="3" t="str">
        <x:v>使用说明与质量检查</x:v>
      </x:c>
      <x:c r="B1" s="3" t="str">
        <x:v>使用说明与质量检查</x:v>
      </x:c>
      <x:c r="C1" s="3" t="str">
        <x:v>使用说明与质量检查</x:v>
      </x:c>
      <x:c r="D1" s="3" t="str">
        <x:v>使用说明与质量检查</x:v>
      </x:c>
    </x:row>
    <x:row r="3" ht="44" customHeight="1">
      <x:c r="A3" s="50" t="str">
        <x:v>用途</x:v>
      </x:c>
      <x:c r="B3" s="51" t="str">
        <x:v>作为 AI/规则情绪编码的候选框架，不能仅凭单个词强制判断整段文本。</x:v>
      </x:c>
    </x:row>
    <x:row r="4" ht="44" customHeight="1">
      <x:c r="A4" s="52" t="str">
        <x:v>上下文</x:v>
      </x:c>
      <x:c r="B4" s="53" t="str">
        <x:v>必须处理否定、程度、转折、反讽、多对象和混合情感。</x:v>
      </x:c>
    </x:row>
    <x:row r="5" ht="44" customHeight="1">
      <x:c r="A5" s="52" t="str">
        <x:v>不确定路径</x:v>
      </x:c>
      <x:c r="B5" s="53" t="str">
        <x:v>证据不足时输出“无法判断/待复核”，不要硬编码。</x:v>
      </x:c>
    </x:row>
    <x:row r="6" ht="44" customHeight="1">
      <x:c r="A6" s="52" t="str">
        <x:v>人工校准</x:v>
      </x:c>
      <x:c r="B6" s="53" t="str">
        <x:v>正式决策前对分层样本进行人工标注并计算一致性或 macro F1。</x:v>
      </x:c>
    </x:row>
    <x:row r="7" ht="44" customHeight="1">
      <x:c r="A7" s="52" t="str">
        <x:v>证据</x:v>
      </x:c>
      <x:c r="B7" s="53" t="str">
        <x:v>保留 record_id、原文摘录、标签理由与置信度。</x:v>
      </x:c>
    </x:row>
    <x:row r="8" ht="44" customHeight="1">
      <x:c r="A8" s="54" t="str">
        <x:v>来源说明</x:v>
      </x:c>
      <x:c r="B8" s="55" t="str">
        <x:v>根据用户提供的“情绪的 3 层产生源头”图整理。图示标题标称 35 类，逐项可读标签合计 34 个；未凭空补造，可在确认后于 taxonomy.yaml 扩展。</x:v>
      </x:c>
    </x:row>
    <x:row r="10">
      <x:c r="A10" s="6" t="str">
        <x:v>质量检查</x:v>
      </x:c>
      <x:c r="B10" s="6" t="str">
        <x:v>数量</x:v>
      </x:c>
    </x:row>
    <x:row r="11">
      <x:c r="A11" s="57" t="str">
        <x:v>实际可读标签总数（图示标称35）</x:v>
      </x:c>
      <x:c r="B11" s="58" t="n">
        <x:f>COUNTA('情绪框架'!$D$3:$D$36)</x:f>
        <x:v>34</x:v>
      </x:c>
    </x:row>
    <x:row r="12">
      <x:c r="A12" s="59" t="str">
        <x:v>生存适应性情绪</x:v>
      </x:c>
      <x:c r="B12" s="60" t="n">
        <x:f>COUNTIF('情绪框架'!$A$3:$A$36,A12)</x:f>
        <x:v>6</x:v>
      </x:c>
    </x:row>
    <x:row r="13">
      <x:c r="A13" s="59" t="str">
        <x:v>社会适应性情绪</x:v>
      </x:c>
      <x:c r="B13" s="60" t="n">
        <x:f>COUNTIF('情绪框架'!$A$3:$A$36,A13)</x:f>
        <x:v>22</x:v>
      </x:c>
    </x:row>
    <x:row r="14">
      <x:c r="A14" s="61" t="str">
        <x:v>超越性情绪</x:v>
      </x:c>
      <x:c r="B14" s="62" t="n">
        <x:f>COUNTIF('情绪框架'!$A$3:$A$36,A14)</x:f>
        <x:v>6</x:v>
      </x:c>
    </x:row>
  </x:sheetData>
  <x:mergeCells>
    <x:mergeCell ref="A1:D1"/>
  </x:mergeCells>
  <x:pageMargins left="0.7" right="0.7" top="0.75" bottom="0.75" header="0.3" footer="0.3"/>
</x:worksheet>
</file>